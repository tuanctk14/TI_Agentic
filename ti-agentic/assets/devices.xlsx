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InstalledSoftware" sheetId="2" state="visible" r:id="rId2"/>
    <sheet xmlns:r="http://schemas.openxmlformats.org/officeDocument/2006/relationships" name="NetworkConnec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'Devices'!$A$1:$O$1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65100"/>
      <sz val="9"/>
    </font>
    <font>
      <name val="Arial"/>
      <b val="1"/>
      <color rgb="00B71C1C"/>
      <sz val="9"/>
    </font>
    <font>
      <name val="Arial"/>
      <b val="1"/>
      <color rgb="001565C0"/>
      <sz val="9"/>
    </font>
    <font>
      <name val="Arial"/>
      <b val="1"/>
      <color rgb="002E7D32"/>
      <sz val="9"/>
    </font>
    <font>
      <name val="Arial"/>
      <b val="1"/>
      <color rgb="00F57F17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565C0"/>
      <sz val="10"/>
    </font>
    <font>
      <name val="Arial"/>
      <color rgb="00555555"/>
      <sz val="9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F57F17"/>
      <sz val="10"/>
    </font>
    <font>
      <name val="Arial"/>
      <b val="1"/>
      <color rgb="00B71C1C"/>
      <sz val="11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8" customWidth="1" min="4" max="4"/>
    <col width="16" customWidth="1" min="5" max="5"/>
    <col width="18" customWidth="1" min="6" max="6"/>
    <col width="16" customWidth="1" min="7" max="7"/>
    <col width="14" customWidth="1" min="8" max="8"/>
    <col width="48" customWidth="1" min="9" max="9"/>
    <col width="42" customWidth="1" min="10" max="10"/>
    <col width="26" customWidth="1" min="11" max="11"/>
    <col width="14" customWidth="1" min="12" max="12"/>
    <col width="20" customWidth="1" min="13" max="13"/>
    <col width="12" customWidth="1" min="14" max="14"/>
    <col width="36" customWidth="1" min="15" max="15"/>
  </cols>
  <sheetData>
    <row r="1" ht="28" customHeight="1">
      <c r="A1" s="1" t="inlineStr">
        <is>
          <t>hostname</t>
        </is>
      </c>
      <c r="B1" s="1" t="inlineStr">
        <is>
          <t>ip</t>
        </is>
      </c>
      <c r="C1" s="1" t="inlineStr">
        <is>
          <t>mac_address</t>
        </is>
      </c>
      <c r="D1" s="1" t="inlineStr">
        <is>
          <t>os_version</t>
        </is>
      </c>
      <c r="E1" s="1" t="inlineStr">
        <is>
          <t>os_patch_level</t>
        </is>
      </c>
      <c r="F1" s="1" t="inlineStr">
        <is>
          <t>department</t>
        </is>
      </c>
      <c r="G1" s="1" t="inlineStr">
        <is>
          <t>location</t>
        </is>
      </c>
      <c r="H1" s="1" t="inlineStr">
        <is>
          <t>asset_type</t>
        </is>
      </c>
      <c r="I1" s="1" t="inlineStr">
        <is>
          <t>applications</t>
        </is>
      </c>
      <c r="J1" s="1" t="inlineStr">
        <is>
          <t>services</t>
        </is>
      </c>
      <c r="K1" s="1" t="inlineStr">
        <is>
          <t>open_ports</t>
        </is>
      </c>
      <c r="L1" s="1" t="inlineStr">
        <is>
          <t>last_seen</t>
        </is>
      </c>
      <c r="M1" s="1" t="inlineStr">
        <is>
          <t>assigned_user</t>
        </is>
      </c>
      <c r="N1" s="1" t="inlineStr">
        <is>
          <t>risk_score</t>
        </is>
      </c>
      <c r="O1" s="1" t="inlineStr">
        <is>
          <t>notes</t>
        </is>
      </c>
    </row>
    <row r="2" ht="32" customHeight="1">
      <c r="A2" s="2" t="inlineStr">
        <is>
          <t>SRV-DC-01</t>
        </is>
      </c>
      <c r="B2" s="2" t="inlineStr">
        <is>
          <t>192.168.1.10</t>
        </is>
      </c>
      <c r="C2" s="2" t="inlineStr">
        <is>
          <t>00:1A:2B:3C:4D:10</t>
        </is>
      </c>
      <c r="D2" s="2" t="inlineStr">
        <is>
          <t>Windows Server 2019 Standard</t>
        </is>
      </c>
      <c r="E2" s="2" t="inlineStr">
        <is>
          <t>KB5034127 (Jan 2024)</t>
        </is>
      </c>
      <c r="F2" s="2" t="inlineStr">
        <is>
          <t>IT Infrastructure</t>
        </is>
      </c>
      <c r="G2" s="2" t="inlineStr">
        <is>
          <t>HN-DataCenter</t>
        </is>
      </c>
      <c r="H2" s="2" t="inlineStr">
        <is>
          <t>Server</t>
        </is>
      </c>
      <c r="I2" s="3" t="inlineStr">
        <is>
          <t>Active Directory, DNS Server, DHCP Server</t>
        </is>
      </c>
      <c r="J2" s="3" t="inlineStr">
        <is>
          <t>ADDS, DNS, DHCP, WinRM, RPC</t>
        </is>
      </c>
      <c r="K2" s="2" t="inlineStr">
        <is>
          <t>53,88,135,389,445,636,3268,3389</t>
        </is>
      </c>
      <c r="L2" s="2" t="inlineStr">
        <is>
          <t>2025-04-25</t>
        </is>
      </c>
      <c r="M2" s="2" t="inlineStr">
        <is>
          <t>sysadmin@company.vn</t>
        </is>
      </c>
      <c r="N2" s="4" t="n">
        <v>72</v>
      </c>
      <c r="O2" s="3" t="inlineStr">
        <is>
          <t>Domain Controller chính - cần giám sát 24/7</t>
        </is>
      </c>
    </row>
    <row r="3" ht="32" customHeight="1">
      <c r="A3" s="5" t="inlineStr">
        <is>
          <t>SRV-WEB-01</t>
        </is>
      </c>
      <c r="B3" s="5" t="inlineStr">
        <is>
          <t>45.142.212.100</t>
        </is>
      </c>
      <c r="C3" s="5" t="inlineStr">
        <is>
          <t>00:1A:2B:3C:4D:11</t>
        </is>
      </c>
      <c r="D3" s="5" t="inlineStr">
        <is>
          <t>Ubuntu 22.04 LTS</t>
        </is>
      </c>
      <c r="E3" s="5" t="inlineStr">
        <is>
          <t>Patch 2024-03-15</t>
        </is>
      </c>
      <c r="F3" s="5" t="inlineStr">
        <is>
          <t>IT Infrastructure</t>
        </is>
      </c>
      <c r="G3" s="5" t="inlineStr">
        <is>
          <t>HN-DataCenter</t>
        </is>
      </c>
      <c r="H3" s="5" t="inlineStr">
        <is>
          <t>Server</t>
        </is>
      </c>
      <c r="I3" s="6" t="inlineStr">
        <is>
          <t>Nginx 1.24, PHP 8.1, WordPress 6.4, MySQL 8.0</t>
        </is>
      </c>
      <c r="J3" s="6" t="inlineStr">
        <is>
          <t>nginx, mysql, php-fpm, ssh</t>
        </is>
      </c>
      <c r="K3" s="5" t="inlineStr">
        <is>
          <t>22,80,443,3306</t>
        </is>
      </c>
      <c r="L3" s="5" t="inlineStr">
        <is>
          <t>2025-04-25</t>
        </is>
      </c>
      <c r="M3" s="5" t="inlineStr">
        <is>
          <t>webmaster@company.vn</t>
        </is>
      </c>
      <c r="N3" s="7" t="n">
        <v>91</v>
      </c>
      <c r="O3" s="6" t="inlineStr">
        <is>
          <t>⚠️ IP trùng với C2 server APT — CẦN ĐIỀU TRA NGAY</t>
        </is>
      </c>
    </row>
    <row r="4" ht="32" customHeight="1">
      <c r="A4" s="2" t="inlineStr">
        <is>
          <t>SRV-FILE-01</t>
        </is>
      </c>
      <c r="B4" s="2" t="inlineStr">
        <is>
          <t>192.168.1.12</t>
        </is>
      </c>
      <c r="C4" s="2" t="inlineStr">
        <is>
          <t>00:1A:2B:3C:4D:12</t>
        </is>
      </c>
      <c r="D4" s="2" t="inlineStr">
        <is>
          <t>Windows Server 2016 Datacenter</t>
        </is>
      </c>
      <c r="E4" s="2" t="inlineStr">
        <is>
          <t>KB5034119 (Jan 2024)</t>
        </is>
      </c>
      <c r="F4" s="2" t="inlineStr">
        <is>
          <t>IT Infrastructure</t>
        </is>
      </c>
      <c r="G4" s="2" t="inlineStr">
        <is>
          <t>HN-DataCenter</t>
        </is>
      </c>
      <c r="H4" s="2" t="inlineStr">
        <is>
          <t>Server</t>
        </is>
      </c>
      <c r="I4" s="3" t="inlineStr">
        <is>
          <t>File Server, DFS, Backup Exec 22</t>
        </is>
      </c>
      <c r="J4" s="3" t="inlineStr">
        <is>
          <t>LanmanServer, DFS, BackupExec</t>
        </is>
      </c>
      <c r="K4" s="2" t="inlineStr">
        <is>
          <t>135,139,445,3389</t>
        </is>
      </c>
      <c r="L4" s="2" t="inlineStr">
        <is>
          <t>2025-04-25</t>
        </is>
      </c>
      <c r="M4" s="2" t="inlineStr">
        <is>
          <t>sysadmin@company.vn</t>
        </is>
      </c>
      <c r="N4" s="8" t="n">
        <v>55</v>
      </c>
      <c r="O4" s="3" t="inlineStr">
        <is>
          <t>File server phòng ban - backup hàng đêm</t>
        </is>
      </c>
    </row>
    <row r="5" ht="32" customHeight="1">
      <c r="A5" s="5" t="inlineStr">
        <is>
          <t>SRV-MAIL-01</t>
        </is>
      </c>
      <c r="B5" s="5" t="inlineStr">
        <is>
          <t>192.168.1.13</t>
        </is>
      </c>
      <c r="C5" s="5" t="inlineStr">
        <is>
          <t>00:1A:2B:3C:4D:13</t>
        </is>
      </c>
      <c r="D5" s="5" t="inlineStr">
        <is>
          <t>Windows Server 2019 Standard</t>
        </is>
      </c>
      <c r="E5" s="5" t="inlineStr">
        <is>
          <t>KB5032198 (Dec 2023)</t>
        </is>
      </c>
      <c r="F5" s="5" t="inlineStr">
        <is>
          <t>IT Infrastructure</t>
        </is>
      </c>
      <c r="G5" s="5" t="inlineStr">
        <is>
          <t>HN-DataCenter</t>
        </is>
      </c>
      <c r="H5" s="5" t="inlineStr">
        <is>
          <t>Server</t>
        </is>
      </c>
      <c r="I5" s="6" t="inlineStr">
        <is>
          <t>Microsoft Exchange 2019 CU13, Outlook Web App</t>
        </is>
      </c>
      <c r="J5" s="6" t="inlineStr">
        <is>
          <t>MSExchangeIS, W3SVC, WinRM</t>
        </is>
      </c>
      <c r="K5" s="5" t="inlineStr">
        <is>
          <t>25,80,110,143,443,587,993,995,3389</t>
        </is>
      </c>
      <c r="L5" s="5" t="inlineStr">
        <is>
          <t>2025-04-24</t>
        </is>
      </c>
      <c r="M5" s="5" t="inlineStr">
        <is>
          <t>mailadmin@company.vn</t>
        </is>
      </c>
      <c r="N5" s="9" t="n">
        <v>68</v>
      </c>
      <c r="O5" s="6" t="inlineStr">
        <is>
          <t>Mail server — cần vá lỗ hổng CVE-2023-23397 sớm</t>
        </is>
      </c>
    </row>
    <row r="6" ht="32" customHeight="1">
      <c r="A6" s="2" t="inlineStr">
        <is>
          <t>WS-FIN-001</t>
        </is>
      </c>
      <c r="B6" s="2" t="inlineStr">
        <is>
          <t>192.168.2.101</t>
        </is>
      </c>
      <c r="C6" s="2" t="inlineStr">
        <is>
          <t>00:2C:3D:4E:5F:01</t>
        </is>
      </c>
      <c r="D6" s="2" t="inlineStr">
        <is>
          <t>Windows 10 Pro 22H2</t>
        </is>
      </c>
      <c r="E6" s="2" t="inlineStr">
        <is>
          <t>KB5034763 (Feb 2024)</t>
        </is>
      </c>
      <c r="F6" s="2" t="inlineStr">
        <is>
          <t>Finance</t>
        </is>
      </c>
      <c r="G6" s="2" t="inlineStr">
        <is>
          <t>HN-Floor3</t>
        </is>
      </c>
      <c r="H6" s="2" t="inlineStr">
        <is>
          <t>Workstation</t>
        </is>
      </c>
      <c r="I6" s="3" t="inlineStr">
        <is>
          <t>Microsoft Office 365, SAP B1, Chrome 122, Adobe Acrobat DC</t>
        </is>
      </c>
      <c r="J6" s="3" t="inlineStr">
        <is>
          <t>wuauserv, Spooler, WSearch, OneDrive</t>
        </is>
      </c>
      <c r="K6" s="2" t="inlineStr">
        <is>
          <t>135,139,445,49152-65535</t>
        </is>
      </c>
      <c r="L6" s="2" t="inlineStr">
        <is>
          <t>2025-04-25</t>
        </is>
      </c>
      <c r="M6" s="2" t="inlineStr">
        <is>
          <t>nguyen.thi.a@company.vn</t>
        </is>
      </c>
      <c r="N6" s="10" t="n">
        <v>35</v>
      </c>
      <c r="O6" s="3" t="inlineStr">
        <is>
          <t>Máy kế toán - có quyền truy cập hệ thống SAP</t>
        </is>
      </c>
    </row>
    <row r="7" ht="32" customHeight="1">
      <c r="A7" s="5" t="inlineStr">
        <is>
          <t>WS-FIN-002</t>
        </is>
      </c>
      <c r="B7" s="5" t="inlineStr">
        <is>
          <t>192.168.2.102</t>
        </is>
      </c>
      <c r="C7" s="5" t="inlineStr">
        <is>
          <t>00:2C:3D:4E:5F:02</t>
        </is>
      </c>
      <c r="D7" s="5" t="inlineStr">
        <is>
          <t>Windows 10 Pro 21H2</t>
        </is>
      </c>
      <c r="E7" s="5" t="inlineStr">
        <is>
          <t>KB5031356 (Nov 2023)</t>
        </is>
      </c>
      <c r="F7" s="5" t="inlineStr">
        <is>
          <t>Finance</t>
        </is>
      </c>
      <c r="G7" s="5" t="inlineStr">
        <is>
          <t>HN-Floor3</t>
        </is>
      </c>
      <c r="H7" s="5" t="inlineStr">
        <is>
          <t>Workstation</t>
        </is>
      </c>
      <c r="I7" s="6" t="inlineStr">
        <is>
          <t>Microsoft Office 2019, SAP B1, Internet Explorer 11, Java 8u351</t>
        </is>
      </c>
      <c r="J7" s="6" t="inlineStr">
        <is>
          <t>wuauserv, Spooler, IISADMIN</t>
        </is>
      </c>
      <c r="K7" s="5" t="inlineStr">
        <is>
          <t>135,139,445,8080</t>
        </is>
      </c>
      <c r="L7" s="5" t="inlineStr">
        <is>
          <t>2025-04-23</t>
        </is>
      </c>
      <c r="M7" s="5" t="inlineStr">
        <is>
          <t>tran.van.b@company.vn</t>
        </is>
      </c>
      <c r="N7" s="9" t="n">
        <v>78</v>
      </c>
      <c r="O7" s="6" t="inlineStr">
        <is>
          <t>⚠️ Patch cũ + IE11 + Java lỗi thời — cần cập nhật gấp</t>
        </is>
      </c>
    </row>
    <row r="8" ht="32" customHeight="1">
      <c r="A8" s="2" t="inlineStr">
        <is>
          <t>WS-HR-001</t>
        </is>
      </c>
      <c r="B8" s="2" t="inlineStr">
        <is>
          <t>192.168.3.101</t>
        </is>
      </c>
      <c r="C8" s="2" t="inlineStr">
        <is>
          <t>00:3D:4E:5F:6A:01</t>
        </is>
      </c>
      <c r="D8" s="2" t="inlineStr">
        <is>
          <t>Windows 11 Pro 23H2</t>
        </is>
      </c>
      <c r="E8" s="2" t="inlineStr">
        <is>
          <t>KB5034765 (Feb 2024)</t>
        </is>
      </c>
      <c r="F8" s="2" t="inlineStr">
        <is>
          <t>Human Resources</t>
        </is>
      </c>
      <c r="G8" s="2" t="inlineStr">
        <is>
          <t>HN-Floor2</t>
        </is>
      </c>
      <c r="H8" s="2" t="inlineStr">
        <is>
          <t>Workstation</t>
        </is>
      </c>
      <c r="I8" s="3" t="inlineStr">
        <is>
          <t>Microsoft Office 365, Zoom 5.17, Chrome 122, Teams</t>
        </is>
      </c>
      <c r="J8" s="3" t="inlineStr">
        <is>
          <t>wuauserv, Spooler, WSearch, Teams</t>
        </is>
      </c>
      <c r="K8" s="2" t="inlineStr">
        <is>
          <t>135,139,445</t>
        </is>
      </c>
      <c r="L8" s="2" t="inlineStr">
        <is>
          <t>2025-04-25</t>
        </is>
      </c>
      <c r="M8" s="2" t="inlineStr">
        <is>
          <t>le.thi.c@company.vn</t>
        </is>
      </c>
      <c r="N8" s="10" t="n">
        <v>22</v>
      </c>
      <c r="O8" s="3" t="inlineStr">
        <is>
          <t>Máy HR - truy cập dữ liệu nhân sự nhạy cảm</t>
        </is>
      </c>
    </row>
    <row r="9" ht="32" customHeight="1">
      <c r="A9" s="5" t="inlineStr">
        <is>
          <t>WS-DEV-001</t>
        </is>
      </c>
      <c r="B9" s="5" t="inlineStr">
        <is>
          <t>192.168.4.101</t>
        </is>
      </c>
      <c r="C9" s="5" t="inlineStr">
        <is>
          <t>00:4E:5F:6A:7B:01</t>
        </is>
      </c>
      <c r="D9" s="5" t="inlineStr">
        <is>
          <t>Ubuntu 22.04 LTS</t>
        </is>
      </c>
      <c r="E9" s="5" t="inlineStr">
        <is>
          <t>Patch 2024-02-20</t>
        </is>
      </c>
      <c r="F9" s="5" t="inlineStr">
        <is>
          <t>R&amp;D / Development</t>
        </is>
      </c>
      <c r="G9" s="5" t="inlineStr">
        <is>
          <t>HN-Floor4</t>
        </is>
      </c>
      <c r="H9" s="5" t="inlineStr">
        <is>
          <t>Workstation</t>
        </is>
      </c>
      <c r="I9" s="6" t="inlineStr">
        <is>
          <t>VS Code 1.87, Docker 25, Python 3.11, Node.js 20, Git 2.43</t>
        </is>
      </c>
      <c r="J9" s="6" t="inlineStr">
        <is>
          <t>docker, ssh, postgresql, redis</t>
        </is>
      </c>
      <c r="K9" s="5" t="inlineStr">
        <is>
          <t>22,5432,6379,8080,8443</t>
        </is>
      </c>
      <c r="L9" s="5" t="inlineStr">
        <is>
          <t>2025-04-25</t>
        </is>
      </c>
      <c r="M9" s="5" t="inlineStr">
        <is>
          <t>pham.van.d@company.vn</t>
        </is>
      </c>
      <c r="N9" s="11" t="n">
        <v>45</v>
      </c>
      <c r="O9" s="6" t="inlineStr">
        <is>
          <t>Developer machine - có Docker và quyền sudo</t>
        </is>
      </c>
    </row>
    <row r="10" ht="32" customHeight="1">
      <c r="A10" s="2" t="inlineStr">
        <is>
          <t>WS-DEV-002</t>
        </is>
      </c>
      <c r="B10" s="2" t="inlineStr">
        <is>
          <t>192.168.4.102</t>
        </is>
      </c>
      <c r="C10" s="2" t="inlineStr">
        <is>
          <t>00:4E:5F:6A:7B:02</t>
        </is>
      </c>
      <c r="D10" s="2" t="inlineStr">
        <is>
          <t>Windows 10 Pro 22H2</t>
        </is>
      </c>
      <c r="E10" s="2" t="inlineStr">
        <is>
          <t>KB5034763 (Feb 2024)</t>
        </is>
      </c>
      <c r="F10" s="2" t="inlineStr">
        <is>
          <t>R&amp;D / Development</t>
        </is>
      </c>
      <c r="G10" s="2" t="inlineStr">
        <is>
          <t>HN-Floor4</t>
        </is>
      </c>
      <c r="H10" s="2" t="inlineStr">
        <is>
          <t>Workstation</t>
        </is>
      </c>
      <c r="I10" s="3" t="inlineStr">
        <is>
          <t>Visual Studio 2022, Git 2.43, Postman, Python 3.11, WinSCP</t>
        </is>
      </c>
      <c r="J10" s="3" t="inlineStr">
        <is>
          <t>wuauserv, Spooler, ssh-agent</t>
        </is>
      </c>
      <c r="K10" s="2" t="inlineStr">
        <is>
          <t>135,139,445,3389,22</t>
        </is>
      </c>
      <c r="L10" s="2" t="inlineStr">
        <is>
          <t>2025-04-25</t>
        </is>
      </c>
      <c r="M10" s="2" t="inlineStr">
        <is>
          <t>hoang.thi.e@company.vn</t>
        </is>
      </c>
      <c r="N10" s="8" t="n">
        <v>40</v>
      </c>
      <c r="O10" s="3" t="inlineStr">
        <is>
          <t>Developer machine - RDP và SSH đều mở</t>
        </is>
      </c>
    </row>
    <row r="11" ht="32" customHeight="1">
      <c r="A11" s="5" t="inlineStr">
        <is>
          <t>LAPTOP-MGR-01</t>
        </is>
      </c>
      <c r="B11" s="5" t="inlineStr">
        <is>
          <t>192.168.5.101</t>
        </is>
      </c>
      <c r="C11" s="5" t="inlineStr">
        <is>
          <t>00:5F:6A:7B:8C:01</t>
        </is>
      </c>
      <c r="D11" s="5" t="inlineStr">
        <is>
          <t>Windows 11 Pro 23H2</t>
        </is>
      </c>
      <c r="E11" s="5" t="inlineStr">
        <is>
          <t>KB5034765 (Feb 2024)</t>
        </is>
      </c>
      <c r="F11" s="5" t="inlineStr">
        <is>
          <t>Management</t>
        </is>
      </c>
      <c r="G11" s="5" t="inlineStr">
        <is>
          <t>HN-Floor5</t>
        </is>
      </c>
      <c r="H11" s="5" t="inlineStr">
        <is>
          <t>Laptop</t>
        </is>
      </c>
      <c r="I11" s="6" t="inlineStr">
        <is>
          <t>Microsoft Office 365, Teams, Zoom, Chrome 122, VPN Client</t>
        </is>
      </c>
      <c r="J11" s="6" t="inlineStr">
        <is>
          <t>wuauserv, Spooler, VPNClient</t>
        </is>
      </c>
      <c r="K11" s="5" t="inlineStr">
        <is>
          <t>135,139,443,445</t>
        </is>
      </c>
      <c r="L11" s="5" t="inlineStr">
        <is>
          <t>2025-04-25</t>
        </is>
      </c>
      <c r="M11" s="5" t="inlineStr">
        <is>
          <t>director@company.vn</t>
        </is>
      </c>
      <c r="N11" s="12" t="n">
        <v>30</v>
      </c>
      <c r="O11" s="6" t="inlineStr">
        <is>
          <t>Laptop giám đốc - có quyền truy cập tất cả hệ thống</t>
        </is>
      </c>
    </row>
    <row r="12" ht="32" customHeight="1">
      <c r="A12" s="2" t="inlineStr">
        <is>
          <t>SRV-BACKUP-01</t>
        </is>
      </c>
      <c r="B12" s="2" t="inlineStr">
        <is>
          <t>192.168.1.20</t>
        </is>
      </c>
      <c r="C12" s="2" t="inlineStr">
        <is>
          <t>00:1A:2B:3C:4D:20</t>
        </is>
      </c>
      <c r="D12" s="2" t="inlineStr">
        <is>
          <t>Windows Server 2019 Standard</t>
        </is>
      </c>
      <c r="E12" s="2" t="inlineStr">
        <is>
          <t>KB5034127 (Jan 2024)</t>
        </is>
      </c>
      <c r="F12" s="2" t="inlineStr">
        <is>
          <t>IT Infrastructure</t>
        </is>
      </c>
      <c r="G12" s="2" t="inlineStr">
        <is>
          <t>HN-DataCenter</t>
        </is>
      </c>
      <c r="H12" s="2" t="inlineStr">
        <is>
          <t>Server</t>
        </is>
      </c>
      <c r="I12" s="3" t="inlineStr">
        <is>
          <t>Veeam Backup 12, SQL Server 2019 Express</t>
        </is>
      </c>
      <c r="J12" s="3" t="inlineStr">
        <is>
          <t>VeeamBackupSvc, MSSQLSERVER, WinRM</t>
        </is>
      </c>
      <c r="K12" s="2" t="inlineStr">
        <is>
          <t>135,445,9392,3389</t>
        </is>
      </c>
      <c r="L12" s="2" t="inlineStr">
        <is>
          <t>2025-04-24</t>
        </is>
      </c>
      <c r="M12" s="2" t="inlineStr">
        <is>
          <t>backup-admin@company.vn</t>
        </is>
      </c>
      <c r="N12" s="8" t="n">
        <v>50</v>
      </c>
      <c r="O12" s="3" t="inlineStr">
        <is>
          <t>Backup server - lưu toàn bộ dữ liệu công ty</t>
        </is>
      </c>
    </row>
    <row r="13" ht="32" customHeight="1">
      <c r="A13" s="5" t="inlineStr">
        <is>
          <t>FW-MAIN-01</t>
        </is>
      </c>
      <c r="B13" s="5" t="inlineStr">
        <is>
          <t>192.168.1.1</t>
        </is>
      </c>
      <c r="C13" s="5" t="inlineStr">
        <is>
          <t>00:AA:BB:CC:DD:01</t>
        </is>
      </c>
      <c r="D13" s="5" t="inlineStr">
        <is>
          <t>Fortinet FortiOS 7.4.3</t>
        </is>
      </c>
      <c r="E13" s="5" t="inlineStr">
        <is>
          <t>Patch 2024-01-10</t>
        </is>
      </c>
      <c r="F13" s="5" t="inlineStr">
        <is>
          <t>IT Infrastructure</t>
        </is>
      </c>
      <c r="G13" s="5" t="inlineStr">
        <is>
          <t>HN-DataCenter</t>
        </is>
      </c>
      <c r="H13" s="5" t="inlineStr">
        <is>
          <t>Firewall</t>
        </is>
      </c>
      <c r="I13" s="6" t="inlineStr">
        <is>
          <t>FortiGate 200F, FortiAnalyzer, FortiManager</t>
        </is>
      </c>
      <c r="J13" s="6" t="inlineStr">
        <is>
          <t>FortiGuard, SSLVPN, IPS</t>
        </is>
      </c>
      <c r="K13" s="5" t="inlineStr">
        <is>
          <t>22,80,443,500,4500,8443</t>
        </is>
      </c>
      <c r="L13" s="5" t="inlineStr">
        <is>
          <t>2025-04-25</t>
        </is>
      </c>
      <c r="M13" s="5" t="inlineStr">
        <is>
          <t>netadmin@company.vn</t>
        </is>
      </c>
      <c r="N13" s="12" t="n">
        <v>20</v>
      </c>
      <c r="O13" s="6" t="inlineStr">
        <is>
          <t>Firewall chính - IP này thường là false positive trong TI</t>
        </is>
      </c>
    </row>
    <row r="14" ht="32" customHeight="1">
      <c r="A14" s="2" t="inlineStr">
        <is>
          <t>SW-CORE-01</t>
        </is>
      </c>
      <c r="B14" s="2" t="inlineStr">
        <is>
          <t>192.168.1.2</t>
        </is>
      </c>
      <c r="C14" s="2" t="inlineStr">
        <is>
          <t>00:BB:CC:DD:EE:02</t>
        </is>
      </c>
      <c r="D14" s="2" t="inlineStr">
        <is>
          <t>Cisco IOS XE 17.9.4</t>
        </is>
      </c>
      <c r="E14" s="2" t="inlineStr">
        <is>
          <t>Patch 2023-12-01</t>
        </is>
      </c>
      <c r="F14" s="2" t="inlineStr">
        <is>
          <t>IT Infrastructure</t>
        </is>
      </c>
      <c r="G14" s="2" t="inlineStr">
        <is>
          <t>HN-DataCenter</t>
        </is>
      </c>
      <c r="H14" s="2" t="inlineStr">
        <is>
          <t>Switch</t>
        </is>
      </c>
      <c r="I14" s="3" t="inlineStr">
        <is>
          <t>Cisco Catalyst 9300, SNMP v3, NetFlow</t>
        </is>
      </c>
      <c r="J14" s="3" t="inlineStr">
        <is>
          <t>SNMP, SSH, Telnet, HTTPS</t>
        </is>
      </c>
      <c r="K14" s="2" t="inlineStr">
        <is>
          <t>22,23,80,161,443</t>
        </is>
      </c>
      <c r="L14" s="2" t="inlineStr">
        <is>
          <t>2025-04-25</t>
        </is>
      </c>
      <c r="M14" s="2" t="inlineStr">
        <is>
          <t>netadmin@company.vn</t>
        </is>
      </c>
      <c r="N14" s="10" t="n">
        <v>35</v>
      </c>
      <c r="O14" s="3" t="inlineStr">
        <is>
          <t>Core switch - kết nối toàn bộ mạng nội bộ</t>
        </is>
      </c>
    </row>
    <row r="15" ht="32" customHeight="1">
      <c r="A15" s="5" t="inlineStr">
        <is>
          <t>CAM-FLOOR1-01</t>
        </is>
      </c>
      <c r="B15" s="5" t="inlineStr">
        <is>
          <t>192.168.6.101</t>
        </is>
      </c>
      <c r="C15" s="5" t="inlineStr">
        <is>
          <t>00:6A:7B:8C:9D:01</t>
        </is>
      </c>
      <c r="D15" s="5" t="inlineStr">
        <is>
          <t>Hikvision Firmware 5.7.16</t>
        </is>
      </c>
      <c r="E15" s="5" t="inlineStr">
        <is>
          <t>Patch 2023-08-01</t>
        </is>
      </c>
      <c r="F15" s="5" t="inlineStr">
        <is>
          <t>Physical Security</t>
        </is>
      </c>
      <c r="G15" s="5" t="inlineStr">
        <is>
          <t>HN-Floor1</t>
        </is>
      </c>
      <c r="H15" s="5" t="inlineStr">
        <is>
          <t>IP Camera</t>
        </is>
      </c>
      <c r="I15" s="6" t="inlineStr">
        <is>
          <t>Hikvision iVMS-4200, ONVIF</t>
        </is>
      </c>
      <c r="J15" s="6" t="inlineStr">
        <is>
          <t>RTSP, HTTP, HTTPS</t>
        </is>
      </c>
      <c r="K15" s="5" t="inlineStr">
        <is>
          <t>80,443,554,8000</t>
        </is>
      </c>
      <c r="L15" s="5" t="inlineStr">
        <is>
          <t>2025-04-25</t>
        </is>
      </c>
      <c r="M15" s="5" t="inlineStr">
        <is>
          <t>security@company.vn</t>
        </is>
      </c>
      <c r="N15" s="9" t="n">
        <v>65</v>
      </c>
      <c r="O15" s="6" t="inlineStr">
        <is>
          <t>⚠️ Firmware camera cũ - có CVE chưa vá</t>
        </is>
      </c>
    </row>
    <row r="16" ht="32" customHeight="1">
      <c r="A16" s="2" t="inlineStr">
        <is>
          <t>PRINTER-HN-01</t>
        </is>
      </c>
      <c r="B16" s="2" t="inlineStr">
        <is>
          <t>192.168.7.101</t>
        </is>
      </c>
      <c r="C16" s="2" t="inlineStr">
        <is>
          <t>00:7B:8C:9D:AE:01</t>
        </is>
      </c>
      <c r="D16" s="2" t="inlineStr">
        <is>
          <t>HP JetDirect Firmware 4.6.1</t>
        </is>
      </c>
      <c r="E16" s="2" t="inlineStr">
        <is>
          <t>N/A</t>
        </is>
      </c>
      <c r="F16" s="2" t="inlineStr">
        <is>
          <t>General</t>
        </is>
      </c>
      <c r="G16" s="2" t="inlineStr">
        <is>
          <t>HN-Floor2</t>
        </is>
      </c>
      <c r="H16" s="2" t="inlineStr">
        <is>
          <t>Printer</t>
        </is>
      </c>
      <c r="I16" s="3" t="inlineStr">
        <is>
          <t>HP LaserJet M507, HP Web JetAdmin</t>
        </is>
      </c>
      <c r="J16" s="3" t="inlineStr">
        <is>
          <t>LPD, IPP, HTTPS, SNMP</t>
        </is>
      </c>
      <c r="K16" s="2" t="inlineStr">
        <is>
          <t>80,443,515,631,9100</t>
        </is>
      </c>
      <c r="L16" s="2" t="inlineStr">
        <is>
          <t>2025-04-20</t>
        </is>
      </c>
      <c r="M16" s="2" t="inlineStr">
        <is>
          <t>N/A</t>
        </is>
      </c>
      <c r="N16" s="8" t="n">
        <v>55</v>
      </c>
      <c r="O16" s="3" t="inlineStr">
        <is>
          <t>Máy in dùng chung - chưa đổi mật khẩu mặc định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22" customWidth="1" min="4" max="4"/>
    <col width="14" customWidth="1" min="5" max="5"/>
    <col width="16" customWidth="1" min="6" max="6"/>
    <col width="26" customWidth="1" min="7" max="7"/>
    <col width="16" customWidth="1" min="8" max="8"/>
    <col width="12" customWidth="1" min="9" max="9"/>
  </cols>
  <sheetData>
    <row r="1" ht="26" customHeight="1">
      <c r="A1" s="13" t="inlineStr">
        <is>
          <t>hostname</t>
        </is>
      </c>
      <c r="B1" s="13" t="inlineStr">
        <is>
          <t>software_name</t>
        </is>
      </c>
      <c r="C1" s="13" t="inlineStr">
        <is>
          <t>version</t>
        </is>
      </c>
      <c r="D1" s="13" t="inlineStr">
        <is>
          <t>vendor</t>
        </is>
      </c>
      <c r="E1" s="13" t="inlineStr">
        <is>
          <t>install_date</t>
        </is>
      </c>
      <c r="F1" s="13" t="inlineStr">
        <is>
          <t>license_type</t>
        </is>
      </c>
      <c r="G1" s="13" t="inlineStr">
        <is>
          <t>vulnerability_cve</t>
        </is>
      </c>
      <c r="H1" s="13" t="inlineStr">
        <is>
          <t>patch_available</t>
        </is>
      </c>
      <c r="I1" s="13" t="inlineStr">
        <is>
          <t>priority</t>
        </is>
      </c>
    </row>
    <row r="2">
      <c r="A2" s="14" t="inlineStr">
        <is>
          <t>SRV-MAIL-01</t>
        </is>
      </c>
      <c r="B2" s="14" t="inlineStr">
        <is>
          <t>Microsoft Exchange</t>
        </is>
      </c>
      <c r="C2" s="14" t="inlineStr">
        <is>
          <t>2019 CU13</t>
        </is>
      </c>
      <c r="D2" s="14" t="inlineStr">
        <is>
          <t>Microsoft</t>
        </is>
      </c>
      <c r="E2" s="14" t="inlineStr">
        <is>
          <t>2023-06-01</t>
        </is>
      </c>
      <c r="F2" s="14" t="inlineStr">
        <is>
          <t>Enterprise</t>
        </is>
      </c>
      <c r="G2" s="14" t="inlineStr">
        <is>
          <t>CVE-2023-23397</t>
        </is>
      </c>
      <c r="H2" s="14" t="inlineStr">
        <is>
          <t>Yes</t>
        </is>
      </c>
      <c r="I2" s="15" t="inlineStr">
        <is>
          <t>CRITICAL</t>
        </is>
      </c>
    </row>
    <row r="3">
      <c r="A3" s="16" t="inlineStr">
        <is>
          <t>WS-FIN-002</t>
        </is>
      </c>
      <c r="B3" s="16" t="inlineStr">
        <is>
          <t>Internet Explorer</t>
        </is>
      </c>
      <c r="C3" s="16" t="inlineStr">
        <is>
          <t>11.0.220</t>
        </is>
      </c>
      <c r="D3" s="16" t="inlineStr">
        <is>
          <t>Microsoft</t>
        </is>
      </c>
      <c r="E3" s="16" t="inlineStr">
        <is>
          <t>2019-01-01</t>
        </is>
      </c>
      <c r="F3" s="16" t="inlineStr">
        <is>
          <t>OEM</t>
        </is>
      </c>
      <c r="G3" s="16" t="inlineStr">
        <is>
          <t>CVE-2023-32049</t>
        </is>
      </c>
      <c r="H3" s="16" t="inlineStr">
        <is>
          <t>Yes</t>
        </is>
      </c>
      <c r="I3" s="17" t="inlineStr">
        <is>
          <t>HIGH</t>
        </is>
      </c>
    </row>
    <row r="4">
      <c r="A4" s="14" t="inlineStr">
        <is>
          <t>WS-FIN-002</t>
        </is>
      </c>
      <c r="B4" s="14" t="inlineStr">
        <is>
          <t>Java SE Runtime</t>
        </is>
      </c>
      <c r="C4" s="14" t="inlineStr">
        <is>
          <t>8 Update 351</t>
        </is>
      </c>
      <c r="D4" s="14" t="inlineStr">
        <is>
          <t>Oracle</t>
        </is>
      </c>
      <c r="E4" s="14" t="inlineStr">
        <is>
          <t>2023-01-15</t>
        </is>
      </c>
      <c r="F4" s="14" t="inlineStr">
        <is>
          <t>Free</t>
        </is>
      </c>
      <c r="G4" s="14" t="inlineStr">
        <is>
          <t>CVE-2023-22081</t>
        </is>
      </c>
      <c r="H4" s="14" t="inlineStr">
        <is>
          <t>Yes</t>
        </is>
      </c>
      <c r="I4" s="18" t="inlineStr">
        <is>
          <t>HIGH</t>
        </is>
      </c>
    </row>
    <row r="5">
      <c r="A5" s="16" t="inlineStr">
        <is>
          <t>WS-FIN-002</t>
        </is>
      </c>
      <c r="B5" s="16" t="inlineStr">
        <is>
          <t>Adobe Acrobat Reader</t>
        </is>
      </c>
      <c r="C5" s="16" t="inlineStr">
        <is>
          <t>DC 23.001</t>
        </is>
      </c>
      <c r="D5" s="16" t="inlineStr">
        <is>
          <t>Adobe</t>
        </is>
      </c>
      <c r="E5" s="16" t="inlineStr">
        <is>
          <t>2023-03-01</t>
        </is>
      </c>
      <c r="F5" s="16" t="inlineStr">
        <is>
          <t>Subscription</t>
        </is>
      </c>
      <c r="G5" s="16" t="inlineStr">
        <is>
          <t>CVE-2023-26369</t>
        </is>
      </c>
      <c r="H5" s="16" t="inlineStr">
        <is>
          <t>Yes</t>
        </is>
      </c>
      <c r="I5" s="17" t="inlineStr">
        <is>
          <t>HIGH</t>
        </is>
      </c>
    </row>
    <row r="6">
      <c r="A6" s="14" t="inlineStr">
        <is>
          <t>CAM-FLOOR1-01</t>
        </is>
      </c>
      <c r="B6" s="14" t="inlineStr">
        <is>
          <t>Hikvision iVMS</t>
        </is>
      </c>
      <c r="C6" s="14" t="inlineStr">
        <is>
          <t>5.7.16 build</t>
        </is>
      </c>
      <c r="D6" s="14" t="inlineStr">
        <is>
          <t>Hikvision</t>
        </is>
      </c>
      <c r="E6" s="14" t="inlineStr">
        <is>
          <t>2022-05-10</t>
        </is>
      </c>
      <c r="F6" s="14" t="inlineStr">
        <is>
          <t>Proprietary</t>
        </is>
      </c>
      <c r="G6" s="14" t="inlineStr">
        <is>
          <t>CVE-2021-36260</t>
        </is>
      </c>
      <c r="H6" s="14" t="inlineStr">
        <is>
          <t>No</t>
        </is>
      </c>
      <c r="I6" s="15" t="inlineStr">
        <is>
          <t>CRITICAL</t>
        </is>
      </c>
    </row>
    <row r="7">
      <c r="A7" s="16" t="inlineStr">
        <is>
          <t>PRINTER-HN-01</t>
        </is>
      </c>
      <c r="B7" s="16" t="inlineStr">
        <is>
          <t>HP Web JetAdmin</t>
        </is>
      </c>
      <c r="C7" s="16" t="inlineStr">
        <is>
          <t>10.4</t>
        </is>
      </c>
      <c r="D7" s="16" t="inlineStr">
        <is>
          <t>HP</t>
        </is>
      </c>
      <c r="E7" s="16" t="inlineStr">
        <is>
          <t>2021-01-01</t>
        </is>
      </c>
      <c r="F7" s="16" t="inlineStr">
        <is>
          <t>Free</t>
        </is>
      </c>
      <c r="G7" s="16" t="inlineStr">
        <is>
          <t>CVE-2022-3942</t>
        </is>
      </c>
      <c r="H7" s="16" t="inlineStr">
        <is>
          <t>Yes</t>
        </is>
      </c>
      <c r="I7" s="19" t="inlineStr">
        <is>
          <t>MEDIUM</t>
        </is>
      </c>
    </row>
    <row r="8">
      <c r="A8" s="14" t="inlineStr">
        <is>
          <t>SRV-WEB-01</t>
        </is>
      </c>
      <c r="B8" s="14" t="inlineStr">
        <is>
          <t>WordPress</t>
        </is>
      </c>
      <c r="C8" s="14" t="inlineStr">
        <is>
          <t>6.4.2</t>
        </is>
      </c>
      <c r="D8" s="14" t="inlineStr">
        <is>
          <t>Automattic</t>
        </is>
      </c>
      <c r="E8" s="14" t="inlineStr">
        <is>
          <t>2024-01-10</t>
        </is>
      </c>
      <c r="F8" s="14" t="inlineStr">
        <is>
          <t>GPL</t>
        </is>
      </c>
      <c r="G8" s="14" t="inlineStr">
        <is>
          <t>CVE-2024-1071</t>
        </is>
      </c>
      <c r="H8" s="14" t="inlineStr">
        <is>
          <t>Yes</t>
        </is>
      </c>
      <c r="I8" s="18" t="inlineStr">
        <is>
          <t>HIGH</t>
        </is>
      </c>
    </row>
    <row r="9">
      <c r="A9" s="16" t="inlineStr">
        <is>
          <t>SRV-WEB-01</t>
        </is>
      </c>
      <c r="B9" s="16" t="inlineStr">
        <is>
          <t>PHP</t>
        </is>
      </c>
      <c r="C9" s="16" t="inlineStr">
        <is>
          <t>8.1.27</t>
        </is>
      </c>
      <c r="D9" s="16" t="inlineStr">
        <is>
          <t>PHP Group</t>
        </is>
      </c>
      <c r="E9" s="16" t="inlineStr">
        <is>
          <t>2024-01-10</t>
        </is>
      </c>
      <c r="F9" s="16" t="inlineStr">
        <is>
          <t>BSD</t>
        </is>
      </c>
      <c r="G9" s="16" t="inlineStr">
        <is>
          <t>CVE-2024-2756</t>
        </is>
      </c>
      <c r="H9" s="16" t="inlineStr">
        <is>
          <t>Yes</t>
        </is>
      </c>
      <c r="I9" s="19" t="inlineStr">
        <is>
          <t>MEDIUM</t>
        </is>
      </c>
    </row>
    <row r="10">
      <c r="A10" s="14" t="inlineStr">
        <is>
          <t>WS-DEV-001</t>
        </is>
      </c>
      <c r="B10" s="14" t="inlineStr">
        <is>
          <t>Docker Desktop</t>
        </is>
      </c>
      <c r="C10" s="14" t="inlineStr">
        <is>
          <t>25.0.3</t>
        </is>
      </c>
      <c r="D10" s="14" t="inlineStr">
        <is>
          <t>Docker Inc</t>
        </is>
      </c>
      <c r="E10" s="14" t="inlineStr">
        <is>
          <t>2024-02-01</t>
        </is>
      </c>
      <c r="F10" s="14" t="inlineStr">
        <is>
          <t>Subscription</t>
        </is>
      </c>
      <c r="G10" s="14" t="inlineStr">
        <is>
          <t>None</t>
        </is>
      </c>
      <c r="H10" s="14" t="inlineStr">
        <is>
          <t>N/A</t>
        </is>
      </c>
      <c r="I10" s="20" t="inlineStr">
        <is>
          <t>LOW</t>
        </is>
      </c>
    </row>
    <row r="11">
      <c r="A11" s="16" t="inlineStr">
        <is>
          <t>SRV-DC-01</t>
        </is>
      </c>
      <c r="B11" s="16" t="inlineStr">
        <is>
          <t>Windows Server 2019</t>
        </is>
      </c>
      <c r="C11" s="16" t="inlineStr">
        <is>
          <t>1809</t>
        </is>
      </c>
      <c r="D11" s="16" t="inlineStr">
        <is>
          <t>Microsoft</t>
        </is>
      </c>
      <c r="E11" s="16" t="inlineStr">
        <is>
          <t>2020-01-01</t>
        </is>
      </c>
      <c r="F11" s="16" t="inlineStr">
        <is>
          <t>Enterprise</t>
        </is>
      </c>
      <c r="G11" s="16" t="inlineStr">
        <is>
          <t>CVE-2024-20674</t>
        </is>
      </c>
      <c r="H11" s="16" t="inlineStr">
        <is>
          <t>Yes</t>
        </is>
      </c>
      <c r="I11" s="17" t="inlineStr">
        <is>
          <t>HIGH</t>
        </is>
      </c>
    </row>
    <row r="12">
      <c r="A12" s="14" t="inlineStr">
        <is>
          <t>LAPTOP-MGR-01</t>
        </is>
      </c>
      <c r="B12" s="14" t="inlineStr">
        <is>
          <t>Zoom</t>
        </is>
      </c>
      <c r="C12" s="14" t="inlineStr">
        <is>
          <t>5.17.1</t>
        </is>
      </c>
      <c r="D12" s="14" t="inlineStr">
        <is>
          <t>Zoom Video</t>
        </is>
      </c>
      <c r="E12" s="14" t="inlineStr">
        <is>
          <t>2024-01-20</t>
        </is>
      </c>
      <c r="F12" s="14" t="inlineStr">
        <is>
          <t>Business</t>
        </is>
      </c>
      <c r="G12" s="14" t="inlineStr">
        <is>
          <t>CVE-2023-43582</t>
        </is>
      </c>
      <c r="H12" s="14" t="inlineStr">
        <is>
          <t>Yes</t>
        </is>
      </c>
      <c r="I12" s="21" t="inlineStr">
        <is>
          <t>MEDIUM</t>
        </is>
      </c>
    </row>
    <row r="13">
      <c r="A13" s="16" t="inlineStr">
        <is>
          <t>SRV-BACKUP-01</t>
        </is>
      </c>
      <c r="B13" s="16" t="inlineStr">
        <is>
          <t>Veeam Backup</t>
        </is>
      </c>
      <c r="C13" s="16" t="inlineStr">
        <is>
          <t>12.1.0.2131</t>
        </is>
      </c>
      <c r="D13" s="16" t="inlineStr">
        <is>
          <t>Veeam</t>
        </is>
      </c>
      <c r="E13" s="16" t="inlineStr">
        <is>
          <t>2024-01-05</t>
        </is>
      </c>
      <c r="F13" s="16" t="inlineStr">
        <is>
          <t>Enterprise</t>
        </is>
      </c>
      <c r="G13" s="16" t="inlineStr">
        <is>
          <t>CVE-2023-27532</t>
        </is>
      </c>
      <c r="H13" s="16" t="inlineStr">
        <is>
          <t>Yes</t>
        </is>
      </c>
      <c r="I13" s="1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2" customWidth="1" min="4" max="4"/>
    <col width="10" customWidth="1" min="5" max="5"/>
    <col width="18" customWidth="1" min="6" max="6"/>
    <col width="14" customWidth="1" min="7" max="7"/>
    <col width="18" customWidth="1" min="8" max="8"/>
    <col width="12" customWidth="1" min="9" max="9"/>
    <col width="40" customWidth="1" min="10" max="10"/>
  </cols>
  <sheetData>
    <row r="1" ht="26" customHeight="1">
      <c r="A1" s="22" t="inlineStr">
        <is>
          <t>hostname</t>
        </is>
      </c>
      <c r="B1" s="22" t="inlineStr">
        <is>
          <t>source_ip</t>
        </is>
      </c>
      <c r="C1" s="22" t="inlineStr">
        <is>
          <t>dest_ip</t>
        </is>
      </c>
      <c r="D1" s="22" t="inlineStr">
        <is>
          <t>dest_port</t>
        </is>
      </c>
      <c r="E1" s="22" t="inlineStr">
        <is>
          <t>protocol</t>
        </is>
      </c>
      <c r="F1" s="22" t="inlineStr">
        <is>
          <t>connection_type</t>
        </is>
      </c>
      <c r="G1" s="22" t="inlineStr">
        <is>
          <t>bytes_sent</t>
        </is>
      </c>
      <c r="H1" s="22" t="inlineStr">
        <is>
          <t>last_activity</t>
        </is>
      </c>
      <c r="I1" s="22" t="inlineStr">
        <is>
          <t>suspicious</t>
        </is>
      </c>
      <c r="J1" s="22" t="inlineStr">
        <is>
          <t>reason</t>
        </is>
      </c>
    </row>
    <row r="2" ht="36" customHeight="1">
      <c r="A2" s="23" t="inlineStr">
        <is>
          <t>SRV-WEB-01</t>
        </is>
      </c>
      <c r="B2" s="23" t="inlineStr">
        <is>
          <t>45.142.212.100</t>
        </is>
      </c>
      <c r="C2" s="23" t="inlineStr">
        <is>
          <t>185.220.101.45</t>
        </is>
      </c>
      <c r="D2" s="23" t="n">
        <v>4444</v>
      </c>
      <c r="E2" s="23" t="inlineStr">
        <is>
          <t>TCP</t>
        </is>
      </c>
      <c r="F2" s="23" t="inlineStr">
        <is>
          <t>Outbound-Internet</t>
        </is>
      </c>
      <c r="G2" s="23" t="n">
        <v>2457600</v>
      </c>
      <c r="H2" s="23" t="inlineStr">
        <is>
          <t>2025-04-25 02:13</t>
        </is>
      </c>
      <c r="I2" s="24" t="inlineStr">
        <is>
          <t>YES</t>
        </is>
      </c>
      <c r="J2" s="25" t="inlineStr">
        <is>
          <t>⚠️ Kết nối đến Tor exit node lúc đêm khuya - nghi C2</t>
        </is>
      </c>
    </row>
    <row r="3" ht="36" customHeight="1">
      <c r="A3" s="5" t="inlineStr">
        <is>
          <t>WS-FIN-002</t>
        </is>
      </c>
      <c r="B3" s="5" t="inlineStr">
        <is>
          <t>192.168.2.102</t>
        </is>
      </c>
      <c r="C3" s="5" t="inlineStr">
        <is>
          <t>update.microsoft-patch.com</t>
        </is>
      </c>
      <c r="D3" s="5" t="n">
        <v>443</v>
      </c>
      <c r="E3" s="5" t="inlineStr">
        <is>
          <t>HTTPS</t>
        </is>
      </c>
      <c r="F3" s="5" t="inlineStr">
        <is>
          <t>Outbound-Internet</t>
        </is>
      </c>
      <c r="G3" s="5" t="n">
        <v>145200</v>
      </c>
      <c r="H3" s="5" t="inlineStr">
        <is>
          <t>2025-04-24 14:32</t>
        </is>
      </c>
      <c r="I3" s="7" t="inlineStr">
        <is>
          <t>YES</t>
        </is>
      </c>
      <c r="J3" s="6" t="inlineStr">
        <is>
          <t>⚠️ Domain giả mạo Microsoft Update - nghi phishing</t>
        </is>
      </c>
    </row>
    <row r="4" ht="36" customHeight="1">
      <c r="A4" s="23" t="inlineStr">
        <is>
          <t>SRV-DC-01</t>
        </is>
      </c>
      <c r="B4" s="23" t="inlineStr">
        <is>
          <t>192.168.1.10</t>
        </is>
      </c>
      <c r="C4" s="23" t="inlineStr">
        <is>
          <t>8.8.8.8</t>
        </is>
      </c>
      <c r="D4" s="23" t="n">
        <v>53</v>
      </c>
      <c r="E4" s="23" t="inlineStr">
        <is>
          <t>UDP</t>
        </is>
      </c>
      <c r="F4" s="23" t="inlineStr">
        <is>
          <t>DNS</t>
        </is>
      </c>
      <c r="G4" s="23" t="inlineStr">
        <is>
          <t>N/A</t>
        </is>
      </c>
      <c r="H4" s="23" t="inlineStr">
        <is>
          <t>2025-04-25 08:00</t>
        </is>
      </c>
      <c r="I4" s="26" t="inlineStr">
        <is>
          <t>NO</t>
        </is>
      </c>
      <c r="J4" s="25" t="inlineStr">
        <is>
          <t>DNS query bình thường đến Google DNS</t>
        </is>
      </c>
    </row>
    <row r="5" ht="36" customHeight="1">
      <c r="A5" s="5" t="inlineStr">
        <is>
          <t>WS-HR-001</t>
        </is>
      </c>
      <c r="B5" s="5" t="inlineStr">
        <is>
          <t>192.168.3.101</t>
        </is>
      </c>
      <c r="C5" s="5" t="inlineStr">
        <is>
          <t>192.168.1.10</t>
        </is>
      </c>
      <c r="D5" s="5" t="n">
        <v>389</v>
      </c>
      <c r="E5" s="5" t="inlineStr">
        <is>
          <t>TCP</t>
        </is>
      </c>
      <c r="F5" s="5" t="inlineStr">
        <is>
          <t>LDAP-Internal</t>
        </is>
      </c>
      <c r="G5" s="5" t="inlineStr">
        <is>
          <t>N/A</t>
        </is>
      </c>
      <c r="H5" s="5" t="inlineStr">
        <is>
          <t>2025-04-25 09:15</t>
        </is>
      </c>
      <c r="I5" s="12" t="inlineStr">
        <is>
          <t>NO</t>
        </is>
      </c>
      <c r="J5" s="6" t="inlineStr">
        <is>
          <t>Xác thực AD bình thường</t>
        </is>
      </c>
    </row>
    <row r="6" ht="36" customHeight="1">
      <c r="A6" s="23" t="inlineStr">
        <is>
          <t>WS-FIN-001</t>
        </is>
      </c>
      <c r="B6" s="23" t="inlineStr">
        <is>
          <t>192.168.2.101</t>
        </is>
      </c>
      <c r="C6" s="23" t="inlineStr">
        <is>
          <t>192.168.1.12</t>
        </is>
      </c>
      <c r="D6" s="23" t="n">
        <v>445</v>
      </c>
      <c r="E6" s="23" t="inlineStr">
        <is>
          <t>TCP</t>
        </is>
      </c>
      <c r="F6" s="23" t="inlineStr">
        <is>
          <t>SMB-Internal</t>
        </is>
      </c>
      <c r="G6" s="23" t="inlineStr">
        <is>
          <t>N/A</t>
        </is>
      </c>
      <c r="H6" s="23" t="inlineStr">
        <is>
          <t>2025-04-25 10:00</t>
        </is>
      </c>
      <c r="I6" s="26" t="inlineStr">
        <is>
          <t>NO</t>
        </is>
      </c>
      <c r="J6" s="25" t="inlineStr">
        <is>
          <t>Truy cập file share nội bộ</t>
        </is>
      </c>
    </row>
    <row r="7" ht="36" customHeight="1">
      <c r="A7" s="5" t="inlineStr">
        <is>
          <t>CAM-FLOOR1-01</t>
        </is>
      </c>
      <c r="B7" s="5" t="inlineStr">
        <is>
          <t>192.168.6.101</t>
        </is>
      </c>
      <c r="C7" s="5" t="inlineStr">
        <is>
          <t>malware-download.evil-domain.ru</t>
        </is>
      </c>
      <c r="D7" s="5" t="n">
        <v>80</v>
      </c>
      <c r="E7" s="5" t="inlineStr">
        <is>
          <t>HTTP</t>
        </is>
      </c>
      <c r="F7" s="5" t="inlineStr">
        <is>
          <t>Outbound-Internet</t>
        </is>
      </c>
      <c r="G7" s="5" t="n">
        <v>890000</v>
      </c>
      <c r="H7" s="5" t="inlineStr">
        <is>
          <t>2025-04-23 03:45</t>
        </is>
      </c>
      <c r="I7" s="7" t="inlineStr">
        <is>
          <t>YES</t>
        </is>
      </c>
      <c r="J7" s="6" t="inlineStr">
        <is>
          <t>⚠️ Camera kết nối ra ngoài đến domain phát tán malware</t>
        </is>
      </c>
    </row>
    <row r="8" ht="36" customHeight="1">
      <c r="A8" s="23" t="inlineStr">
        <is>
          <t>LAPTOP-MGR-01</t>
        </is>
      </c>
      <c r="B8" s="23" t="inlineStr">
        <is>
          <t>192.168.5.101</t>
        </is>
      </c>
      <c r="C8" s="23" t="inlineStr">
        <is>
          <t>192.168.1.10</t>
        </is>
      </c>
      <c r="D8" s="23" t="n">
        <v>636</v>
      </c>
      <c r="E8" s="23" t="inlineStr">
        <is>
          <t>TCP</t>
        </is>
      </c>
      <c r="F8" s="23" t="inlineStr">
        <is>
          <t>LDAPS-Internal</t>
        </is>
      </c>
      <c r="G8" s="23" t="inlineStr">
        <is>
          <t>N/A</t>
        </is>
      </c>
      <c r="H8" s="23" t="inlineStr">
        <is>
          <t>2025-04-25 08:30</t>
        </is>
      </c>
      <c r="I8" s="26" t="inlineStr">
        <is>
          <t>NO</t>
        </is>
      </c>
      <c r="J8" s="25" t="inlineStr">
        <is>
          <t>Truy cập AD bảo mật bình thường</t>
        </is>
      </c>
    </row>
    <row r="9" ht="36" customHeight="1">
      <c r="A9" s="5" t="inlineStr">
        <is>
          <t>WS-DEV-002</t>
        </is>
      </c>
      <c r="B9" s="5" t="inlineStr">
        <is>
          <t>192.168.4.102</t>
        </is>
      </c>
      <c r="C9" s="5" t="inlineStr">
        <is>
          <t>192.168.4.101</t>
        </is>
      </c>
      <c r="D9" s="5" t="n">
        <v>22</v>
      </c>
      <c r="E9" s="5" t="inlineStr">
        <is>
          <t>TCP</t>
        </is>
      </c>
      <c r="F9" s="5" t="inlineStr">
        <is>
          <t>SSH-Internal</t>
        </is>
      </c>
      <c r="G9" s="5" t="inlineStr">
        <is>
          <t>N/A</t>
        </is>
      </c>
      <c r="H9" s="5" t="inlineStr">
        <is>
          <t>2025-04-25 11:00</t>
        </is>
      </c>
      <c r="I9" s="12" t="inlineStr">
        <is>
          <t>NO</t>
        </is>
      </c>
      <c r="J9" s="6" t="inlineStr">
        <is>
          <t>Developer SSH nội bộ</t>
        </is>
      </c>
    </row>
    <row r="10" ht="36" customHeight="1">
      <c r="A10" s="23" t="inlineStr">
        <is>
          <t>SRV-WEB-01</t>
        </is>
      </c>
      <c r="B10" s="23" t="inlineStr">
        <is>
          <t>45.142.212.100</t>
        </is>
      </c>
      <c r="C10" s="23" t="inlineStr">
        <is>
          <t>45.142.212.100</t>
        </is>
      </c>
      <c r="D10" s="23" t="n">
        <v>443</v>
      </c>
      <c r="E10" s="23" t="inlineStr">
        <is>
          <t>HTTPS</t>
        </is>
      </c>
      <c r="F10" s="23" t="inlineStr">
        <is>
          <t>Loopback</t>
        </is>
      </c>
      <c r="G10" s="23" t="inlineStr">
        <is>
          <t>N/A</t>
        </is>
      </c>
      <c r="H10" s="23" t="inlineStr">
        <is>
          <t>2025-04-25 00:01</t>
        </is>
      </c>
      <c r="I10" s="24" t="inlineStr">
        <is>
          <t>YES</t>
        </is>
      </c>
      <c r="J10" s="25" t="inlineStr">
        <is>
          <t>⚠️ Trùng với IP C2 đã biết</t>
        </is>
      </c>
    </row>
    <row r="11" ht="36" customHeight="1">
      <c r="A11" s="5" t="inlineStr">
        <is>
          <t>PRINTER-HN-01</t>
        </is>
      </c>
      <c r="B11" s="5" t="inlineStr">
        <is>
          <t>192.168.7.101</t>
        </is>
      </c>
      <c r="C11" s="5" t="inlineStr">
        <is>
          <t>192.168.1.1</t>
        </is>
      </c>
      <c r="D11" s="5" t="n">
        <v>80</v>
      </c>
      <c r="E11" s="5" t="inlineStr">
        <is>
          <t>HTTP</t>
        </is>
      </c>
      <c r="F11" s="5" t="inlineStr">
        <is>
          <t>Internal</t>
        </is>
      </c>
      <c r="G11" s="5" t="inlineStr">
        <is>
          <t>N/A</t>
        </is>
      </c>
      <c r="H11" s="5" t="inlineStr">
        <is>
          <t>2025-04-20 15:00</t>
        </is>
      </c>
      <c r="I11" s="12" t="inlineStr">
        <is>
          <t>NO</t>
        </is>
      </c>
      <c r="J11" s="6" t="inlineStr">
        <is>
          <t>Kết nối đến default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42" customWidth="1" min="4" max="4"/>
  </cols>
  <sheetData>
    <row r="1" ht="36" customHeight="1">
      <c r="A1" s="27" t="inlineStr">
        <is>
          <t>THREAT INTELLIGENCE — ASSET SUMMARY</t>
        </is>
      </c>
      <c r="B1" s="28" t="n"/>
      <c r="C1" s="28" t="n"/>
      <c r="D1" s="29" t="n"/>
    </row>
    <row r="3">
      <c r="A3" s="30" t="inlineStr">
        <is>
          <t>Chỉ số</t>
        </is>
      </c>
      <c r="B3" s="30" t="inlineStr">
        <is>
          <t>Giá trị</t>
        </is>
      </c>
      <c r="C3" s="30" t="inlineStr">
        <is>
          <t>Mức độ</t>
        </is>
      </c>
      <c r="D3" s="30" t="inlineStr">
        <is>
          <t>Ghi chú</t>
        </is>
      </c>
    </row>
    <row r="4" ht="24" customHeight="1">
      <c r="A4" s="31" t="inlineStr">
        <is>
          <t>Tổng thiết bị giám sát</t>
        </is>
      </c>
      <c r="B4" s="32">
        <f>COUNTA(Devices!A2:A1000)</f>
        <v/>
      </c>
      <c r="C4" s="32" t="inlineStr">
        <is>
          <t>INFO</t>
        </is>
      </c>
      <c r="D4" s="33" t="inlineStr">
        <is>
          <t>Tất cả thiết bị trong mạng nội bộ</t>
        </is>
      </c>
    </row>
    <row r="5" ht="24" customHeight="1">
      <c r="A5" s="31" t="inlineStr">
        <is>
          <t>Thiết bị rủi ro CRITICAL</t>
        </is>
      </c>
      <c r="B5" s="34">
        <f>COUNTIF(Devices!N2:N1000,"&gt;80")</f>
        <v/>
      </c>
      <c r="C5" s="34" t="inlineStr">
        <is>
          <t>CRITICAL</t>
        </is>
      </c>
      <c r="D5" s="33" t="inlineStr">
        <is>
          <t>Risk score &gt; 80</t>
        </is>
      </c>
    </row>
    <row r="6" ht="24" customHeight="1">
      <c r="A6" s="31" t="inlineStr">
        <is>
          <t>Thiết bị rủi ro HIGH</t>
        </is>
      </c>
      <c r="B6" s="35">
        <f>COUNTIF(Devices!N2:N1000,"&gt;59")-COUNTIF(Devices!N2:N1000,"&gt;80")</f>
        <v/>
      </c>
      <c r="C6" s="35" t="inlineStr">
        <is>
          <t>HIGH</t>
        </is>
      </c>
      <c r="D6" s="33" t="inlineStr">
        <is>
          <t>Risk score 60–80</t>
        </is>
      </c>
    </row>
    <row r="7" ht="24" customHeight="1">
      <c r="A7" s="31" t="inlineStr">
        <is>
          <t>Phần mềm có CVE chưa vá</t>
        </is>
      </c>
      <c r="B7" s="35">
        <f>COUNTIF(InstalledSoftware!H2:H1000,"Yes")</f>
        <v/>
      </c>
      <c r="C7" s="35" t="inlineStr">
        <is>
          <t>HIGH</t>
        </is>
      </c>
      <c r="D7" s="33" t="inlineStr">
        <is>
          <t>Cần patching khẩn</t>
        </is>
      </c>
    </row>
    <row r="8" ht="24" customHeight="1">
      <c r="A8" s="31" t="inlineStr">
        <is>
          <t>Kết nối đáng ngờ phát hiện</t>
        </is>
      </c>
      <c r="B8" s="34">
        <f>COUNTIF(NetworkConnections!I2:I1000,"YES")</f>
        <v/>
      </c>
      <c r="C8" s="34" t="inlineStr">
        <is>
          <t>CRITICAL</t>
        </is>
      </c>
      <c r="D8" s="33" t="inlineStr">
        <is>
          <t>Cần điều tra ngay</t>
        </is>
      </c>
    </row>
    <row r="9" ht="24" customHeight="1">
      <c r="A9" s="31" t="inlineStr">
        <is>
          <t>Thiết bị patch chậm (&gt;60d)</t>
        </is>
      </c>
      <c r="B9" s="36" t="n">
        <v>2</v>
      </c>
      <c r="C9" s="36" t="inlineStr">
        <is>
          <t>MEDIUM</t>
        </is>
      </c>
      <c r="D9" s="33" t="inlineStr">
        <is>
          <t>WS-FIN-002 và các thiết bị cũ</t>
        </is>
      </c>
    </row>
    <row r="10" ht="24" customHeight="1">
      <c r="A10" s="31" t="inlineStr">
        <is>
          <t>CVE CRITICAL chưa vá</t>
        </is>
      </c>
      <c r="B10" s="34">
        <f>COUNTIF(InstalledSoftware!I2:I1000,"CRITICAL")</f>
        <v/>
      </c>
      <c r="C10" s="34" t="inlineStr">
        <is>
          <t>CRITICAL</t>
        </is>
      </c>
      <c r="D10" s="33" t="inlineStr">
        <is>
          <t>Ưu tiên xử lý ngay</t>
        </is>
      </c>
    </row>
    <row r="12">
      <c r="A12" s="37" t="inlineStr">
        <is>
          <t>Thiết bị cần xử lý ngay (khớp với IOC):</t>
        </is>
      </c>
      <c r="B12" s="28" t="n"/>
      <c r="C12" s="28" t="n"/>
      <c r="D12" s="29" t="n"/>
    </row>
    <row r="13">
      <c r="A13" s="30" t="inlineStr">
        <is>
          <t>Hostname</t>
        </is>
      </c>
      <c r="B13" s="30" t="inlineStr">
        <is>
          <t>IP</t>
        </is>
      </c>
      <c r="C13" s="30" t="inlineStr">
        <is>
          <t>Lý do</t>
        </is>
      </c>
      <c r="D13" s="30" t="inlineStr">
        <is>
          <t>Mức độ</t>
        </is>
      </c>
    </row>
    <row r="14" ht="22" customHeight="1">
      <c r="A14" s="38" t="inlineStr">
        <is>
          <t>SRV-WEB-01</t>
        </is>
      </c>
      <c r="B14" s="31" t="inlineStr">
        <is>
          <t>45.142.212.100</t>
        </is>
      </c>
      <c r="C14" s="39" t="inlineStr">
        <is>
          <t>IP trùng C2 APT server</t>
        </is>
      </c>
      <c r="D14" s="34" t="inlineStr">
        <is>
          <t>CRITICAL</t>
        </is>
      </c>
    </row>
    <row r="15" ht="22" customHeight="1">
      <c r="A15" s="38" t="inlineStr">
        <is>
          <t>CAM-FLOOR1-01</t>
        </is>
      </c>
      <c r="B15" s="31" t="inlineStr">
        <is>
          <t>192.168.6.101</t>
        </is>
      </c>
      <c r="C15" s="39" t="inlineStr">
        <is>
          <t>Kết nối domain phát tán malware</t>
        </is>
      </c>
      <c r="D15" s="34" t="inlineStr">
        <is>
          <t>CRITICAL</t>
        </is>
      </c>
    </row>
    <row r="16" ht="22" customHeight="1">
      <c r="A16" s="38" t="inlineStr">
        <is>
          <t>WS-FIN-002</t>
        </is>
      </c>
      <c r="B16" s="31" t="inlineStr">
        <is>
          <t>192.168.2.102</t>
        </is>
      </c>
      <c r="C16" s="39" t="inlineStr">
        <is>
          <t>Kết nối domain phishing Microsoft</t>
        </is>
      </c>
      <c r="D16" s="35" t="inlineStr">
        <is>
          <t>HIGH</t>
        </is>
      </c>
    </row>
    <row r="17" ht="22" customHeight="1">
      <c r="A17" s="38" t="inlineStr">
        <is>
          <t>SRV-MAIL-01</t>
        </is>
      </c>
      <c r="B17" s="31" t="inlineStr">
        <is>
          <t>192.168.1.13</t>
        </is>
      </c>
      <c r="C17" s="39" t="inlineStr">
        <is>
          <t>CVE-2023-23397 chưa được vá</t>
        </is>
      </c>
      <c r="D17" s="35" t="inlineStr">
        <is>
          <t>HIGH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2026-04-26T00:35:15Z</dcterms:created>
  <dcterms:modified xmlns:dcterms="http://purl.org/dc/terms/" xmlns:xsi="http://www.w3.org/2001/XMLSchema-instance" xsi:type="dcterms:W3CDTF">2026-04-26T00:35:15Z</dcterms:modified>
</cp:coreProperties>
</file>